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unior\Desktop\Nueva carpeta (4)\programa5\costousd\"/>
    </mc:Choice>
  </mc:AlternateContent>
  <bookViews>
    <workbookView xWindow="0" yWindow="0" windowWidth="15360" windowHeight="7755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2" l="1"/>
  <c r="E30" i="2" s="1"/>
  <c r="I25" i="2"/>
  <c r="I26" i="2" s="1"/>
  <c r="I27" i="2" l="1"/>
  <c r="E29" i="2" s="1"/>
  <c r="J26" i="2" l="1"/>
  <c r="J27" i="2" s="1"/>
  <c r="J30" i="2"/>
</calcChain>
</file>

<file path=xl/sharedStrings.xml><?xml version="1.0" encoding="utf-8"?>
<sst xmlns="http://schemas.openxmlformats.org/spreadsheetml/2006/main" count="55" uniqueCount="48">
  <si>
    <t>ANEXO 1</t>
  </si>
  <si>
    <t>DIRECCIÓN DE OPERACIONES</t>
  </si>
  <si>
    <t xml:space="preserve">MODELO 1: FICHA TÉCNICA DE ELABORACIÓN DE ALIMENTOS </t>
  </si>
  <si>
    <t>TIPO DE SERVICIO (2): A la Carta</t>
  </si>
  <si>
    <t xml:space="preserve">FECHA DE CONFECCIÓN (6): </t>
  </si>
  <si>
    <t>NUMERO DE PORCIONES (1):</t>
  </si>
  <si>
    <t>No(7)</t>
  </si>
  <si>
    <t>PRODUCTOS O INGREDIENTES (8)</t>
  </si>
  <si>
    <t>U/M (9)</t>
  </si>
  <si>
    <t>PRESENTACIÓN</t>
  </si>
  <si>
    <t xml:space="preserve">PRECIO DE COSTO CUC (12) </t>
  </si>
  <si>
    <t>PROCEDIMIENTO</t>
  </si>
  <si>
    <t>Bruto (10)</t>
  </si>
  <si>
    <t>Neto (11)</t>
  </si>
  <si>
    <t>PREPARACIÓN (14)</t>
  </si>
  <si>
    <t>ELABORACIÓN (15)</t>
  </si>
  <si>
    <t>DECORACIÓN (16)</t>
  </si>
  <si>
    <t>PRESENTACIÓN (FOTO) (17)</t>
  </si>
  <si>
    <t>TOTAL</t>
  </si>
  <si>
    <t>COSTO DE UNA PORCIÓN (18)</t>
  </si>
  <si>
    <t>PORCENTAJE DE UTILIDAD (20):</t>
  </si>
  <si>
    <t>PRECIO DE VENTA (19):</t>
  </si>
  <si>
    <t>ÍNDICE DE COSTO TOTAL (21):</t>
  </si>
  <si>
    <t>REALIZADO POR (23):</t>
  </si>
  <si>
    <t>REVISADO POR (24):</t>
  </si>
  <si>
    <t>APROBADO POR (25):</t>
  </si>
  <si>
    <t>U</t>
  </si>
  <si>
    <t>Pan redondo 80 gr</t>
  </si>
  <si>
    <t>aceite soya 20 lt</t>
  </si>
  <si>
    <t>Huevos de gallina</t>
  </si>
  <si>
    <t>u</t>
  </si>
  <si>
    <t xml:space="preserve">subt cerdo </t>
  </si>
  <si>
    <t xml:space="preserve">subt de pollo </t>
  </si>
  <si>
    <t xml:space="preserve">IMPORTE COSTO </t>
  </si>
  <si>
    <t>Leche en polvo</t>
  </si>
  <si>
    <t>Cebolla</t>
  </si>
  <si>
    <t xml:space="preserve">Picadillo de res </t>
  </si>
  <si>
    <t>KG</t>
  </si>
  <si>
    <t>Sal fina</t>
  </si>
  <si>
    <t>Pimienta negra</t>
  </si>
  <si>
    <t>NOMBRE DEL PLATO A ELABORAR: Hamburguesa Taína</t>
  </si>
  <si>
    <t>PESO POR PORCIÓN (5): 150 g</t>
  </si>
  <si>
    <t>INSTALACIÓN (1):</t>
  </si>
  <si>
    <t xml:space="preserve">                                                                                                                                                                                  subtotal</t>
  </si>
  <si>
    <t>PRECIO SIN IMPUESTO</t>
  </si>
  <si>
    <t>IMPUESTO DEL 10%</t>
  </si>
  <si>
    <t>5% de condimentos</t>
  </si>
  <si>
    <t>Observaciones(22)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</si>
</sst>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0.000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8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465926084170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2" fillId="0" borderId="0" xfId="1"/>
    <xf numFmtId="0" fontId="2" fillId="0" borderId="0" xfId="1" applyBorder="1" applyAlignment="1" applyProtection="1">
      <alignment horizontal="center"/>
      <protection locked="0"/>
    </xf>
    <xf numFmtId="14" fontId="0" fillId="0" borderId="0" xfId="0" applyNumberFormat="1" applyAlignment="1">
      <alignment horizontal="left"/>
    </xf>
    <xf numFmtId="0" fontId="3" fillId="0" borderId="0" xfId="1" applyFont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2" fillId="0" borderId="0" xfId="1" applyProtection="1">
      <protection locked="0"/>
    </xf>
    <xf numFmtId="0" fontId="5" fillId="0" borderId="0" xfId="0" applyFont="1" applyAlignment="1">
      <alignment horizontal="center"/>
    </xf>
    <xf numFmtId="0" fontId="2" fillId="0" borderId="0" xfId="1" applyAlignment="1" applyProtection="1">
      <alignment horizontal="center"/>
      <protection locked="0"/>
    </xf>
    <xf numFmtId="0" fontId="2" fillId="0" borderId="0" xfId="1" applyBorder="1" applyAlignment="1" applyProtection="1">
      <alignment horizontal="left"/>
      <protection locked="0"/>
    </xf>
    <xf numFmtId="0" fontId="2" fillId="0" borderId="0" xfId="1" applyFill="1" applyBorder="1" applyAlignment="1" applyProtection="1">
      <alignment horizontal="center"/>
      <protection locked="0"/>
    </xf>
    <xf numFmtId="0" fontId="3" fillId="0" borderId="9" xfId="1" applyFont="1" applyBorder="1" applyAlignment="1" applyProtection="1">
      <alignment horizontal="center" vertical="center"/>
      <protection locked="0"/>
    </xf>
    <xf numFmtId="0" fontId="3" fillId="0" borderId="10" xfId="1" applyFont="1" applyBorder="1" applyAlignment="1" applyProtection="1">
      <alignment horizontal="center" vertical="center"/>
      <protection locked="0"/>
    </xf>
    <xf numFmtId="0" fontId="0" fillId="0" borderId="0" xfId="0" quotePrefix="1"/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164" fontId="0" fillId="0" borderId="16" xfId="0" applyNumberFormat="1" applyBorder="1"/>
    <xf numFmtId="0" fontId="0" fillId="0" borderId="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0" xfId="1" applyFont="1" applyAlignment="1" applyProtection="1">
      <alignment horizontal="right"/>
      <protection locked="0"/>
    </xf>
    <xf numFmtId="164" fontId="0" fillId="0" borderId="0" xfId="0" applyNumberFormat="1"/>
    <xf numFmtId="2" fontId="7" fillId="2" borderId="23" xfId="1" applyNumberFormat="1" applyFont="1" applyFill="1" applyBorder="1" applyAlignment="1" applyProtection="1">
      <alignment horizontal="center"/>
    </xf>
    <xf numFmtId="164" fontId="1" fillId="0" borderId="0" xfId="0" applyNumberFormat="1" applyFont="1"/>
    <xf numFmtId="0" fontId="3" fillId="0" borderId="0" xfId="1" applyFont="1" applyAlignment="1">
      <alignment horizontal="right"/>
    </xf>
    <xf numFmtId="165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2" fontId="2" fillId="0" borderId="0" xfId="1" applyNumberFormat="1" applyAlignment="1" applyProtection="1">
      <alignment horizontal="center"/>
      <protection locked="0"/>
    </xf>
    <xf numFmtId="0" fontId="1" fillId="0" borderId="0" xfId="0" applyFont="1"/>
    <xf numFmtId="0" fontId="0" fillId="3" borderId="13" xfId="0" applyFill="1" applyBorder="1"/>
    <xf numFmtId="0" fontId="0" fillId="3" borderId="16" xfId="0" applyFill="1" applyBorder="1" applyAlignment="1">
      <alignment horizontal="center"/>
    </xf>
    <xf numFmtId="164" fontId="0" fillId="3" borderId="16" xfId="0" applyNumberFormat="1" applyFill="1" applyBorder="1"/>
    <xf numFmtId="164" fontId="0" fillId="3" borderId="13" xfId="0" applyNumberFormat="1" applyFill="1" applyBorder="1"/>
    <xf numFmtId="0" fontId="0" fillId="3" borderId="16" xfId="0" applyFill="1" applyBorder="1"/>
    <xf numFmtId="164" fontId="0" fillId="3" borderId="24" xfId="0" applyNumberFormat="1" applyFill="1" applyBorder="1"/>
    <xf numFmtId="164" fontId="0" fillId="3" borderId="25" xfId="0" applyNumberFormat="1" applyFill="1" applyBorder="1"/>
    <xf numFmtId="164" fontId="0" fillId="0" borderId="24" xfId="0" applyNumberFormat="1" applyBorder="1"/>
    <xf numFmtId="43" fontId="0" fillId="0" borderId="0" xfId="0" applyNumberFormat="1"/>
    <xf numFmtId="0" fontId="0" fillId="0" borderId="1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" fillId="0" borderId="0" xfId="1" applyFont="1" applyAlignment="1">
      <alignment horizontal="center"/>
    </xf>
    <xf numFmtId="0" fontId="3" fillId="0" borderId="0" xfId="1" applyFont="1" applyAlignment="1"/>
    <xf numFmtId="0" fontId="0" fillId="0" borderId="0" xfId="0" applyAlignment="1"/>
    <xf numFmtId="0" fontId="3" fillId="0" borderId="0" xfId="1" applyFont="1" applyAlignment="1" applyProtection="1">
      <protection locked="0"/>
    </xf>
    <xf numFmtId="0" fontId="4" fillId="0" borderId="0" xfId="0" applyFont="1" applyAlignment="1"/>
    <xf numFmtId="0" fontId="3" fillId="0" borderId="0" xfId="1" applyFont="1" applyBorder="1" applyAlignment="1">
      <alignment horizontal="left"/>
    </xf>
    <xf numFmtId="0" fontId="3" fillId="0" borderId="1" xfId="1" applyFont="1" applyBorder="1" applyAlignment="1" applyProtection="1">
      <alignment horizontal="center" vertical="center" wrapText="1"/>
      <protection locked="0"/>
    </xf>
    <xf numFmtId="0" fontId="3" fillId="0" borderId="7" xfId="1" applyFont="1" applyBorder="1" applyAlignment="1" applyProtection="1">
      <alignment horizontal="center" vertical="center" wrapText="1"/>
      <protection locked="0"/>
    </xf>
    <xf numFmtId="0" fontId="3" fillId="0" borderId="2" xfId="1" applyFont="1" applyBorder="1" applyAlignment="1" applyProtection="1">
      <alignment horizontal="center" vertical="center" wrapText="1"/>
      <protection locked="0"/>
    </xf>
    <xf numFmtId="0" fontId="3" fillId="0" borderId="8" xfId="1" applyFont="1" applyBorder="1" applyAlignment="1" applyProtection="1">
      <alignment horizontal="center" vertical="center" wrapText="1"/>
      <protection locked="0"/>
    </xf>
    <xf numFmtId="0" fontId="3" fillId="0" borderId="3" xfId="1" applyFont="1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0" fontId="3" fillId="0" borderId="5" xfId="1" applyFont="1" applyBorder="1" applyAlignment="1" applyProtection="1">
      <alignment horizontal="center" vertical="center" wrapText="1"/>
      <protection locked="0"/>
    </xf>
    <xf numFmtId="0" fontId="0" fillId="0" borderId="11" xfId="0" applyBorder="1" applyAlignment="1">
      <alignment horizontal="center" vertical="center" wrapText="1"/>
    </xf>
    <xf numFmtId="0" fontId="3" fillId="0" borderId="16" xfId="1" applyFont="1" applyBorder="1" applyAlignment="1" applyProtection="1">
      <alignment horizontal="center" vertical="center" wrapText="1"/>
      <protection locked="0"/>
    </xf>
    <xf numFmtId="0" fontId="3" fillId="0" borderId="19" xfId="1" applyFont="1" applyBorder="1" applyAlignment="1" applyProtection="1">
      <alignment horizontal="center" vertical="center"/>
      <protection locked="0"/>
    </xf>
    <xf numFmtId="0" fontId="3" fillId="0" borderId="6" xfId="1" applyFont="1" applyBorder="1" applyAlignment="1" applyProtection="1">
      <alignment horizontal="center" vertical="center"/>
      <protection locked="0"/>
    </xf>
    <xf numFmtId="0" fontId="3" fillId="0" borderId="19" xfId="1" applyFont="1" applyBorder="1" applyAlignment="1" applyProtection="1">
      <alignment horizontal="center" wrapText="1"/>
      <protection locked="0"/>
    </xf>
    <xf numFmtId="0" fontId="3" fillId="0" borderId="6" xfId="1" applyFont="1" applyBorder="1" applyAlignment="1" applyProtection="1">
      <alignment horizontal="center" wrapText="1"/>
      <protection locked="0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workbookViewId="0">
      <selection activeCell="I20" sqref="I20:J21"/>
    </sheetView>
  </sheetViews>
  <sheetFormatPr baseColWidth="10" defaultRowHeight="15" x14ac:dyDescent="0.25"/>
  <cols>
    <col min="1" max="1" width="5.140625" customWidth="1"/>
    <col min="3" max="3" width="16.85546875" customWidth="1"/>
  </cols>
  <sheetData>
    <row r="1" spans="1:12" x14ac:dyDescent="0.25">
      <c r="A1" s="1"/>
      <c r="B1" s="1" t="s">
        <v>0</v>
      </c>
      <c r="C1" s="1"/>
      <c r="D1" s="2"/>
      <c r="E1" s="2"/>
      <c r="F1" s="2"/>
      <c r="G1" s="2"/>
      <c r="H1" s="2"/>
      <c r="I1" s="2"/>
      <c r="J1" s="1"/>
      <c r="K1" s="1"/>
      <c r="L1" s="1"/>
    </row>
    <row r="2" spans="1:12" x14ac:dyDescent="0.25">
      <c r="A2" s="1"/>
      <c r="B2" s="1" t="s">
        <v>1</v>
      </c>
      <c r="C2" s="1"/>
      <c r="D2" s="2"/>
      <c r="E2" s="2"/>
      <c r="F2" s="2"/>
      <c r="G2" s="2"/>
      <c r="H2" s="2"/>
      <c r="I2" s="2"/>
      <c r="J2" s="1"/>
      <c r="K2" s="1"/>
      <c r="L2" s="1"/>
    </row>
    <row r="3" spans="1:12" x14ac:dyDescent="0.25">
      <c r="B3" s="1" t="s">
        <v>2</v>
      </c>
      <c r="D3" s="3"/>
      <c r="E3" s="3"/>
      <c r="F3" s="3"/>
      <c r="G3" s="3"/>
      <c r="H3" s="50" t="s">
        <v>41</v>
      </c>
      <c r="I3" s="50"/>
      <c r="J3" s="50"/>
      <c r="K3" s="4"/>
      <c r="L3" s="4"/>
    </row>
    <row r="4" spans="1:12" x14ac:dyDescent="0.25">
      <c r="B4" s="51" t="s">
        <v>42</v>
      </c>
      <c r="C4" s="52"/>
      <c r="D4" s="52"/>
      <c r="E4" s="52"/>
      <c r="F4" s="52"/>
      <c r="G4" s="52"/>
      <c r="H4" s="2"/>
      <c r="I4" s="2"/>
      <c r="J4" s="4"/>
      <c r="K4" s="4"/>
      <c r="L4" s="4"/>
    </row>
    <row r="5" spans="1:12" x14ac:dyDescent="0.25">
      <c r="B5" s="53" t="s">
        <v>3</v>
      </c>
      <c r="C5" s="52"/>
      <c r="D5" s="52"/>
      <c r="E5" s="52"/>
      <c r="F5" s="5"/>
      <c r="G5" s="5"/>
      <c r="H5" s="54" t="s">
        <v>4</v>
      </c>
      <c r="I5" s="54"/>
      <c r="J5" s="54"/>
      <c r="K5" s="54"/>
      <c r="L5" s="6"/>
    </row>
    <row r="6" spans="1:12" x14ac:dyDescent="0.25">
      <c r="B6" s="7" t="s">
        <v>40</v>
      </c>
      <c r="C6" s="7"/>
      <c r="D6" s="8"/>
      <c r="E6" s="8"/>
      <c r="F6" s="8"/>
      <c r="G6" s="8"/>
      <c r="H6" s="3"/>
      <c r="I6" s="3"/>
      <c r="J6" s="55"/>
      <c r="K6" s="55"/>
      <c r="L6" s="9"/>
    </row>
    <row r="7" spans="1:12" ht="18.75" x14ac:dyDescent="0.3">
      <c r="B7" s="7" t="s">
        <v>5</v>
      </c>
      <c r="C7" s="7"/>
      <c r="D7" s="8"/>
      <c r="E7" s="10">
        <v>1</v>
      </c>
      <c r="F7" s="8"/>
      <c r="G7" s="5"/>
      <c r="H7" s="11"/>
      <c r="I7" s="11"/>
      <c r="J7" s="9"/>
      <c r="K7" s="9"/>
      <c r="L7" s="9"/>
    </row>
    <row r="8" spans="1:12" ht="15.75" thickBot="1" x14ac:dyDescent="0.3">
      <c r="C8" s="12"/>
      <c r="D8" s="5"/>
      <c r="E8" s="13"/>
      <c r="F8" s="5"/>
      <c r="G8" s="5"/>
      <c r="H8" s="11"/>
      <c r="I8" s="11"/>
      <c r="J8" s="9"/>
      <c r="K8" s="9"/>
      <c r="L8" s="9"/>
    </row>
    <row r="9" spans="1:12" ht="15.75" customHeight="1" thickBot="1" x14ac:dyDescent="0.3">
      <c r="B9" s="56" t="s">
        <v>6</v>
      </c>
      <c r="C9" s="58" t="s">
        <v>7</v>
      </c>
      <c r="D9" s="58" t="s">
        <v>8</v>
      </c>
      <c r="E9" s="60" t="s">
        <v>9</v>
      </c>
      <c r="F9" s="61"/>
      <c r="G9" s="62" t="s">
        <v>10</v>
      </c>
      <c r="H9" s="64" t="s">
        <v>33</v>
      </c>
      <c r="I9" s="65" t="s">
        <v>11</v>
      </c>
      <c r="J9" s="66"/>
    </row>
    <row r="10" spans="1:12" ht="15.75" thickBot="1" x14ac:dyDescent="0.3">
      <c r="B10" s="57"/>
      <c r="C10" s="59"/>
      <c r="D10" s="59"/>
      <c r="E10" s="14" t="s">
        <v>12</v>
      </c>
      <c r="F10" s="15" t="s">
        <v>13</v>
      </c>
      <c r="G10" s="63"/>
      <c r="H10" s="64"/>
      <c r="I10" s="65" t="s">
        <v>14</v>
      </c>
      <c r="J10" s="66"/>
    </row>
    <row r="11" spans="1:12" ht="15.75" thickBot="1" x14ac:dyDescent="0.3">
      <c r="A11" s="16"/>
      <c r="B11" s="17">
        <v>1</v>
      </c>
      <c r="C11" s="35" t="s">
        <v>27</v>
      </c>
      <c r="D11" s="36" t="s">
        <v>26</v>
      </c>
      <c r="E11" s="38">
        <v>0.5</v>
      </c>
      <c r="F11" s="38">
        <v>0</v>
      </c>
      <c r="G11" s="41">
        <v>4.0262000000000002</v>
      </c>
      <c r="H11" s="37">
        <v>2.0133999999999999</v>
      </c>
      <c r="I11" s="44"/>
      <c r="J11" s="45"/>
    </row>
    <row r="12" spans="1:12" ht="15.75" thickBot="1" x14ac:dyDescent="0.3">
      <c r="A12" s="16"/>
      <c r="B12" s="20">
        <v>2</v>
      </c>
      <c r="C12" s="35" t="s">
        <v>28</v>
      </c>
      <c r="D12" s="36" t="s">
        <v>26</v>
      </c>
      <c r="E12" s="37">
        <v>5.0000000000000001E-4</v>
      </c>
      <c r="F12" s="37">
        <v>0</v>
      </c>
      <c r="G12" s="41">
        <v>623.95000000000005</v>
      </c>
      <c r="H12" s="37">
        <v>0.312</v>
      </c>
      <c r="I12" s="46"/>
      <c r="J12" s="47"/>
    </row>
    <row r="13" spans="1:12" ht="15.75" thickBot="1" x14ac:dyDescent="0.3">
      <c r="A13" s="16"/>
      <c r="B13" s="20">
        <v>3</v>
      </c>
      <c r="C13" s="39" t="s">
        <v>29</v>
      </c>
      <c r="D13" s="36" t="s">
        <v>30</v>
      </c>
      <c r="E13" s="37">
        <v>0.5</v>
      </c>
      <c r="F13" s="37">
        <v>0</v>
      </c>
      <c r="G13" s="41">
        <v>2.1427</v>
      </c>
      <c r="H13" s="37">
        <v>1.0713999999999999</v>
      </c>
      <c r="I13" s="46"/>
      <c r="J13" s="47"/>
    </row>
    <row r="14" spans="1:12" ht="15.75" thickBot="1" x14ac:dyDescent="0.3">
      <c r="A14" s="16"/>
      <c r="B14" s="20">
        <v>4</v>
      </c>
      <c r="C14" s="39" t="s">
        <v>36</v>
      </c>
      <c r="D14" s="36" t="s">
        <v>37</v>
      </c>
      <c r="E14" s="37">
        <v>0.5</v>
      </c>
      <c r="F14" s="37">
        <v>0</v>
      </c>
      <c r="G14" s="41">
        <v>97</v>
      </c>
      <c r="H14" s="37">
        <v>9.6999999999999993</v>
      </c>
      <c r="I14" s="48"/>
      <c r="J14" s="49"/>
    </row>
    <row r="15" spans="1:12" ht="15.75" thickBot="1" x14ac:dyDescent="0.3">
      <c r="A15" s="16"/>
      <c r="B15" s="20">
        <v>5</v>
      </c>
      <c r="C15" s="39" t="s">
        <v>31</v>
      </c>
      <c r="D15" s="36" t="s">
        <v>37</v>
      </c>
      <c r="E15" s="37">
        <v>2.5000000000000001E-2</v>
      </c>
      <c r="F15" s="37">
        <v>0</v>
      </c>
      <c r="G15" s="41">
        <v>27.45</v>
      </c>
      <c r="H15" s="37">
        <v>6.8624999999999998</v>
      </c>
      <c r="I15" s="67" t="s">
        <v>15</v>
      </c>
      <c r="J15" s="68"/>
    </row>
    <row r="16" spans="1:12" ht="15.75" thickBot="1" x14ac:dyDescent="0.3">
      <c r="A16" s="16"/>
      <c r="B16" s="20">
        <v>6</v>
      </c>
      <c r="C16" s="39" t="s">
        <v>32</v>
      </c>
      <c r="D16" s="36" t="s">
        <v>37</v>
      </c>
      <c r="E16" s="37">
        <v>2.5000000000000001E-2</v>
      </c>
      <c r="F16" s="37">
        <v>0</v>
      </c>
      <c r="G16" s="41">
        <v>28.48</v>
      </c>
      <c r="H16" s="37">
        <v>7.12</v>
      </c>
      <c r="I16" s="44"/>
      <c r="J16" s="45"/>
    </row>
    <row r="17" spans="1:12" x14ac:dyDescent="0.25">
      <c r="A17" s="16"/>
      <c r="B17" s="17">
        <v>7</v>
      </c>
      <c r="C17" s="35" t="s">
        <v>34</v>
      </c>
      <c r="D17" s="36" t="s">
        <v>37</v>
      </c>
      <c r="E17" s="37">
        <v>5.0000000000000001E-3</v>
      </c>
      <c r="F17" s="38">
        <v>0</v>
      </c>
      <c r="G17" s="41">
        <v>180.59559999999999</v>
      </c>
      <c r="H17" s="37">
        <v>0.90300000000000002</v>
      </c>
      <c r="I17" s="46"/>
      <c r="J17" s="47"/>
    </row>
    <row r="18" spans="1:12" ht="15.75" thickBot="1" x14ac:dyDescent="0.3">
      <c r="A18" s="16"/>
      <c r="B18" s="20">
        <v>8</v>
      </c>
      <c r="C18" s="39" t="s">
        <v>35</v>
      </c>
      <c r="D18" s="36" t="s">
        <v>37</v>
      </c>
      <c r="E18" s="37">
        <v>5.0000000000000001E-3</v>
      </c>
      <c r="F18" s="37">
        <v>0</v>
      </c>
      <c r="G18" s="40">
        <v>108.7</v>
      </c>
      <c r="H18" s="37">
        <v>0.54349999999999998</v>
      </c>
      <c r="I18" s="48"/>
      <c r="J18" s="49"/>
    </row>
    <row r="19" spans="1:12" ht="15.75" thickBot="1" x14ac:dyDescent="0.3">
      <c r="A19" s="16"/>
      <c r="B19" s="20">
        <v>9</v>
      </c>
      <c r="C19" s="39" t="s">
        <v>38</v>
      </c>
      <c r="D19" s="36" t="s">
        <v>37</v>
      </c>
      <c r="E19" s="37">
        <v>2E-3</v>
      </c>
      <c r="F19" s="37">
        <v>0</v>
      </c>
      <c r="G19" s="40">
        <v>5.43</v>
      </c>
      <c r="H19" s="37">
        <v>1.09E-2</v>
      </c>
      <c r="I19" s="67" t="s">
        <v>16</v>
      </c>
      <c r="J19" s="68"/>
    </row>
    <row r="20" spans="1:12" x14ac:dyDescent="0.25">
      <c r="B20" s="20">
        <v>10</v>
      </c>
      <c r="C20" s="39" t="s">
        <v>39</v>
      </c>
      <c r="D20" s="36" t="s">
        <v>26</v>
      </c>
      <c r="E20" s="37">
        <v>1E-3</v>
      </c>
      <c r="F20" s="37">
        <v>0</v>
      </c>
      <c r="G20" s="40">
        <v>180.12</v>
      </c>
      <c r="H20" s="37">
        <v>0.18010000000000001</v>
      </c>
      <c r="I20" s="44"/>
      <c r="J20" s="45"/>
    </row>
    <row r="21" spans="1:12" ht="15.75" thickBot="1" x14ac:dyDescent="0.3">
      <c r="B21" s="20"/>
      <c r="C21" s="39"/>
      <c r="D21" s="36"/>
      <c r="E21" s="37"/>
      <c r="F21" s="37"/>
      <c r="G21" s="40"/>
      <c r="I21" s="48"/>
      <c r="J21" s="49"/>
    </row>
    <row r="22" spans="1:12" ht="15.75" thickBot="1" x14ac:dyDescent="0.3">
      <c r="B22" s="20"/>
      <c r="C22" s="39"/>
      <c r="D22" s="36"/>
      <c r="E22" s="37"/>
      <c r="F22" s="37"/>
      <c r="G22" s="40"/>
      <c r="H22" s="37"/>
      <c r="I22" s="67" t="s">
        <v>17</v>
      </c>
      <c r="J22" s="68"/>
    </row>
    <row r="23" spans="1:12" x14ac:dyDescent="0.25">
      <c r="B23" s="20"/>
      <c r="C23" s="39"/>
      <c r="D23" s="36"/>
      <c r="E23" s="37"/>
      <c r="F23" s="37"/>
      <c r="G23" s="40"/>
      <c r="H23" s="37"/>
      <c r="I23" s="18"/>
      <c r="J23" s="19"/>
    </row>
    <row r="24" spans="1:12" x14ac:dyDescent="0.25">
      <c r="B24" s="20"/>
      <c r="C24" s="21"/>
      <c r="D24" s="22"/>
      <c r="E24" s="23"/>
      <c r="F24" s="23"/>
      <c r="G24" s="42"/>
      <c r="H24" s="23"/>
      <c r="I24" s="24"/>
      <c r="J24" s="25"/>
    </row>
    <row r="25" spans="1:12" ht="15.75" thickBot="1" x14ac:dyDescent="0.3">
      <c r="B25" s="69" t="s">
        <v>43</v>
      </c>
      <c r="C25" s="70"/>
      <c r="D25" s="70"/>
      <c r="E25" s="70"/>
      <c r="F25" s="70"/>
      <c r="G25" s="70"/>
      <c r="H25" s="71"/>
      <c r="I25" s="37">
        <f>SUM(H11:H24)</f>
        <v>28.716799999999999</v>
      </c>
      <c r="J25" s="23"/>
      <c r="K25" s="24"/>
      <c r="L25" s="24"/>
    </row>
    <row r="26" spans="1:12" ht="15.75" thickBot="1" x14ac:dyDescent="0.3">
      <c r="H26" s="26" t="s">
        <v>46</v>
      </c>
      <c r="I26" s="27">
        <f>(5/100*I25)</f>
        <v>1.43584</v>
      </c>
      <c r="J26" s="27">
        <f>SUM(J12:J25)</f>
        <v>0</v>
      </c>
    </row>
    <row r="27" spans="1:12" ht="15.75" thickBot="1" x14ac:dyDescent="0.3">
      <c r="H27" s="28" t="s">
        <v>18</v>
      </c>
      <c r="I27" s="27">
        <f>SUM(I25,I26)</f>
        <v>30.152639999999998</v>
      </c>
      <c r="J27" s="29">
        <f>J25+J26</f>
        <v>0</v>
      </c>
    </row>
    <row r="29" spans="1:12" x14ac:dyDescent="0.25">
      <c r="B29" s="72" t="s">
        <v>19</v>
      </c>
      <c r="C29" s="73"/>
      <c r="D29" s="73"/>
      <c r="E29" s="27">
        <f>I27</f>
        <v>30.152639999999998</v>
      </c>
      <c r="H29" s="30" t="s">
        <v>20</v>
      </c>
      <c r="K29" s="30"/>
      <c r="L29" s="30"/>
    </row>
    <row r="30" spans="1:12" ht="15" customHeight="1" x14ac:dyDescent="0.25">
      <c r="B30" s="74" t="s">
        <v>21</v>
      </c>
      <c r="C30" s="75"/>
      <c r="D30" s="75"/>
      <c r="E30" s="43">
        <f>ROUNDUP((E32+E31)/5,0)*5</f>
        <v>265</v>
      </c>
      <c r="G30" s="78" t="s">
        <v>22</v>
      </c>
      <c r="H30" s="78"/>
      <c r="I30" s="78"/>
      <c r="J30" s="31">
        <f>I27/E30</f>
        <v>0.11378354716981132</v>
      </c>
      <c r="L30" s="32"/>
    </row>
    <row r="31" spans="1:12" ht="15" customHeight="1" x14ac:dyDescent="0.25">
      <c r="B31" s="74" t="s">
        <v>45</v>
      </c>
      <c r="C31" s="75"/>
      <c r="D31" s="75"/>
      <c r="E31" s="43">
        <f>(10/100*E32)</f>
        <v>24</v>
      </c>
      <c r="G31" s="77"/>
      <c r="H31" s="77"/>
      <c r="I31" s="77"/>
      <c r="L31" s="32"/>
    </row>
    <row r="32" spans="1:12" x14ac:dyDescent="0.25">
      <c r="B32" s="74" t="s">
        <v>44</v>
      </c>
      <c r="C32" s="75"/>
      <c r="D32" s="75"/>
      <c r="E32" s="43">
        <v>240</v>
      </c>
      <c r="L32" s="31"/>
    </row>
    <row r="33" spans="2:11" x14ac:dyDescent="0.25">
      <c r="B33" s="74"/>
      <c r="C33" s="75"/>
      <c r="D33" s="75"/>
      <c r="E33" s="3"/>
      <c r="F33" s="11"/>
      <c r="G33" s="33"/>
      <c r="H33" s="11"/>
      <c r="I33" s="9"/>
      <c r="J33" s="9"/>
      <c r="K33" s="9"/>
    </row>
    <row r="34" spans="2:11" x14ac:dyDescent="0.25">
      <c r="B34" s="34"/>
      <c r="C34" s="34"/>
      <c r="D34" s="34"/>
      <c r="E34" s="34"/>
      <c r="F34" s="34"/>
      <c r="G34" s="34"/>
      <c r="H34" s="34"/>
    </row>
    <row r="35" spans="2:11" x14ac:dyDescent="0.25">
      <c r="B35" s="74" t="s">
        <v>47</v>
      </c>
      <c r="C35" s="75"/>
      <c r="D35" s="75"/>
    </row>
    <row r="36" spans="2:11" x14ac:dyDescent="0.25">
      <c r="F36" s="76"/>
      <c r="G36" s="76"/>
    </row>
    <row r="37" spans="2:11" x14ac:dyDescent="0.25">
      <c r="F37" s="76"/>
      <c r="G37" s="76"/>
    </row>
    <row r="38" spans="2:11" x14ac:dyDescent="0.25">
      <c r="F38" s="76"/>
      <c r="G38" s="76"/>
    </row>
    <row r="39" spans="2:11" x14ac:dyDescent="0.25">
      <c r="B39" s="54" t="s">
        <v>23</v>
      </c>
      <c r="C39" s="54"/>
      <c r="D39" s="54"/>
      <c r="E39" s="54"/>
      <c r="F39" s="54" t="s">
        <v>24</v>
      </c>
      <c r="G39" s="54"/>
      <c r="H39" s="54"/>
      <c r="I39" s="54"/>
      <c r="J39" s="54" t="s">
        <v>25</v>
      </c>
      <c r="K39" s="54"/>
    </row>
    <row r="40" spans="2:11" x14ac:dyDescent="0.25">
      <c r="D40" s="8"/>
      <c r="E40" s="8"/>
      <c r="F40" s="8"/>
      <c r="G40" s="8"/>
      <c r="H40" s="8"/>
    </row>
  </sheetData>
  <mergeCells count="32">
    <mergeCell ref="B39:E39"/>
    <mergeCell ref="F39:I39"/>
    <mergeCell ref="J39:K39"/>
    <mergeCell ref="B25:H25"/>
    <mergeCell ref="B29:D29"/>
    <mergeCell ref="B30:D30"/>
    <mergeCell ref="F36:G38"/>
    <mergeCell ref="G31:I31"/>
    <mergeCell ref="B31:D31"/>
    <mergeCell ref="B32:D32"/>
    <mergeCell ref="B33:D33"/>
    <mergeCell ref="B35:D35"/>
    <mergeCell ref="G30:I30"/>
    <mergeCell ref="I15:J15"/>
    <mergeCell ref="I16:J18"/>
    <mergeCell ref="I19:J19"/>
    <mergeCell ref="I20:J21"/>
    <mergeCell ref="I22:J22"/>
    <mergeCell ref="I11:J14"/>
    <mergeCell ref="H3:J3"/>
    <mergeCell ref="B4:G4"/>
    <mergeCell ref="B5:E5"/>
    <mergeCell ref="H5:K5"/>
    <mergeCell ref="J6:K6"/>
    <mergeCell ref="B9:B10"/>
    <mergeCell ref="C9:C10"/>
    <mergeCell ref="D9:D10"/>
    <mergeCell ref="E9:F9"/>
    <mergeCell ref="G9:G10"/>
    <mergeCell ref="H9:H10"/>
    <mergeCell ref="I9:J9"/>
    <mergeCell ref="I10:J10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Yunior Rodriguez Alonso</dc:creator>
  <cp:lastModifiedBy>Yunior</cp:lastModifiedBy>
  <cp:lastPrinted>2022-11-29T18:32:25Z</cp:lastPrinted>
  <dcterms:created xsi:type="dcterms:W3CDTF">2019-02-06T22:02:02Z</dcterms:created>
  <dcterms:modified xsi:type="dcterms:W3CDTF">2026-09-29T11:30:05Z</dcterms:modified>
</cp:coreProperties>
</file>