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name="Hoja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_-* #,##0.00\ _€_-;\-* #,##0.00\ _€_-;_-* &quot;-&quot;??\ _€_-;_-@_-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4"/>
      <scheme val="minor"/>
    </font>
    <font>
      <name val="Arial"/>
      <family val="2"/>
      <sz val="8"/>
    </font>
    <font>
      <name val="Arial"/>
      <family val="2"/>
      <b val="1"/>
      <color theme="0"/>
      <sz val="10"/>
    </font>
  </fonts>
  <fills count="4">
    <fill>
      <patternFill/>
    </fill>
    <fill>
      <patternFill patternType="gray125"/>
    </fill>
    <fill>
      <patternFill patternType="solid">
        <fgColor theme="6" tint="-0.249946592608417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pivotButton="0" quotePrefix="0" xfId="0"/>
    <xf numFmtId="0" fontId="3" fillId="0" borderId="0" pivotButton="0" quotePrefix="0" xfId="1"/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2" fillId="0" borderId="0" pivotButton="0" quotePrefix="0" xfId="1"/>
    <xf numFmtId="0" fontId="2" fillId="0" borderId="0" applyAlignment="1" applyProtection="1" pivotButton="0" quotePrefix="0" xfId="1">
      <alignment horizontal="center"/>
      <protection locked="0" hidden="0"/>
    </xf>
    <xf numFmtId="14" fontId="0" fillId="0" borderId="0" applyAlignment="1" pivotButton="0" quotePrefix="0" xfId="0">
      <alignment horizontal="left"/>
    </xf>
    <xf numFmtId="0" fontId="3" fillId="0" borderId="0" applyAlignment="1" applyProtection="1" pivotButton="0" quotePrefix="0" xfId="1">
      <alignment horizontal="left"/>
      <protection locked="0" hidden="0"/>
    </xf>
    <xf numFmtId="0" fontId="0" fillId="0" borderId="0" applyAlignment="1" pivotButton="0" quotePrefix="0" xfId="0">
      <alignment horizontal="center"/>
    </xf>
    <xf numFmtId="0" fontId="2" fillId="0" borderId="0" applyProtection="1" pivotButton="0" quotePrefix="0" xfId="1">
      <protection locked="0" hidden="0"/>
    </xf>
    <xf numFmtId="0" fontId="5" fillId="0" borderId="0" applyAlignment="1" pivotButton="0" quotePrefix="0" xfId="0">
      <alignment horizontal="center"/>
    </xf>
    <xf numFmtId="0" fontId="2" fillId="0" borderId="0" applyAlignment="1" applyProtection="1" pivotButton="0" quotePrefix="0" xfId="1">
      <alignment horizontal="center"/>
      <protection locked="0" hidden="0"/>
    </xf>
    <xf numFmtId="0" fontId="2" fillId="0" borderId="0" applyAlignment="1" applyProtection="1" pivotButton="0" quotePrefix="0" xfId="1">
      <alignment horizontal="left"/>
      <protection locked="0" hidden="0"/>
    </xf>
    <xf numFmtId="0" fontId="2" fillId="0" borderId="0" applyAlignment="1" applyProtection="1" pivotButton="0" quotePrefix="0" xfId="1">
      <alignment horizontal="center"/>
      <protection locked="0" hidden="0"/>
    </xf>
    <xf numFmtId="0" fontId="3" fillId="0" borderId="9" applyAlignment="1" applyProtection="1" pivotButton="0" quotePrefix="0" xfId="1">
      <alignment horizontal="center" vertical="center"/>
      <protection locked="0" hidden="0"/>
    </xf>
    <xf numFmtId="0" fontId="3" fillId="0" borderId="10" applyAlignment="1" applyProtection="1" pivotButton="0" quotePrefix="0" xfId="1">
      <alignment horizontal="center" vertical="center"/>
      <protection locked="0" hidden="0"/>
    </xf>
    <xf numFmtId="0" fontId="0" fillId="0" borderId="0" pivotButton="0" quotePrefix="1" xfId="0"/>
    <xf numFmtId="0" fontId="0" fillId="0" borderId="12" applyAlignment="1" pivotButton="0" quotePrefix="0" xfId="0">
      <alignment horizontal="center"/>
    </xf>
    <xf numFmtId="0" fontId="0" fillId="0" borderId="14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15" applyAlignment="1" pivotButton="0" quotePrefix="0" xfId="0">
      <alignment horizontal="center"/>
    </xf>
    <xf numFmtId="0" fontId="0" fillId="0" borderId="16" pivotButton="0" quotePrefix="0" xfId="0"/>
    <xf numFmtId="0" fontId="0" fillId="0" borderId="16" applyAlignment="1" pivotButton="0" quotePrefix="0" xfId="0">
      <alignment horizontal="center"/>
    </xf>
    <xf numFmtId="164" fontId="0" fillId="0" borderId="16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6" fillId="0" borderId="0" applyAlignment="1" applyProtection="1" pivotButton="0" quotePrefix="0" xfId="1">
      <alignment horizontal="right"/>
      <protection locked="0" hidden="0"/>
    </xf>
    <xf numFmtId="164" fontId="0" fillId="0" borderId="0" pivotButton="0" quotePrefix="0" xfId="0"/>
    <xf numFmtId="2" fontId="7" fillId="2" borderId="23" applyAlignment="1" pivotButton="0" quotePrefix="0" xfId="1">
      <alignment horizontal="center"/>
    </xf>
    <xf numFmtId="164" fontId="1" fillId="0" borderId="0" pivotButton="0" quotePrefix="0" xfId="0"/>
    <xf numFmtId="0" fontId="3" fillId="0" borderId="0" applyAlignment="1" pivotButton="0" quotePrefix="0" xfId="1">
      <alignment horizontal="right"/>
    </xf>
    <xf numFmtId="165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2" fontId="2" fillId="0" borderId="0" applyAlignment="1" applyProtection="1" pivotButton="0" quotePrefix="0" xfId="1">
      <alignment horizontal="center"/>
      <protection locked="0" hidden="0"/>
    </xf>
    <xf numFmtId="0" fontId="1" fillId="0" borderId="0" pivotButton="0" quotePrefix="0" xfId="0"/>
    <xf numFmtId="0" fontId="0" fillId="3" borderId="13" pivotButton="0" quotePrefix="0" xfId="0"/>
    <xf numFmtId="0" fontId="0" fillId="3" borderId="16" applyAlignment="1" pivotButton="0" quotePrefix="0" xfId="0">
      <alignment horizontal="center"/>
    </xf>
    <xf numFmtId="164" fontId="0" fillId="3" borderId="16" pivotButton="0" quotePrefix="0" xfId="0"/>
    <xf numFmtId="164" fontId="0" fillId="3" borderId="13" pivotButton="0" quotePrefix="0" xfId="0"/>
    <xf numFmtId="0" fontId="0" fillId="3" borderId="16" pivotButton="0" quotePrefix="0" xfId="0"/>
    <xf numFmtId="164" fontId="0" fillId="3" borderId="24" pivotButton="0" quotePrefix="0" xfId="0"/>
    <xf numFmtId="164" fontId="0" fillId="3" borderId="25" pivotButton="0" quotePrefix="0" xfId="0"/>
    <xf numFmtId="164" fontId="0" fillId="0" borderId="24" pivotButton="0" quotePrefix="0" xfId="0"/>
    <xf numFmtId="0" fontId="4" fillId="0" borderId="0" pivotButton="0" quotePrefix="0" xfId="0"/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3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1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wrapText="1"/>
    </xf>
    <xf numFmtId="0" fontId="3" fillId="0" borderId="19" applyAlignment="1" applyProtection="1" pivotButton="0" quotePrefix="0" xfId="1">
      <alignment horizontal="center" wrapText="1"/>
      <protection locked="0" hidden="0"/>
    </xf>
    <xf numFmtId="0" fontId="3" fillId="0" borderId="6" applyAlignment="1" applyProtection="1" pivotButton="0" quotePrefix="0" xfId="1">
      <alignment horizontal="center" wrapText="1"/>
      <protection locked="0" hidden="0"/>
    </xf>
    <xf numFmtId="0" fontId="0" fillId="0" borderId="14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17" applyAlignment="1" pivotButton="0" quotePrefix="0" xfId="0">
      <alignment horizontal="left" vertical="top" wrapText="1"/>
    </xf>
    <xf numFmtId="0" fontId="0" fillId="0" borderId="18" applyAlignment="1" pivotButton="0" quotePrefix="0" xfId="0">
      <alignment horizontal="left" vertical="top" wrapText="1"/>
    </xf>
    <xf numFmtId="0" fontId="3" fillId="0" borderId="0" applyAlignment="1" pivotButton="0" quotePrefix="0" xfId="1">
      <alignment horizontal="center"/>
    </xf>
    <xf numFmtId="0" fontId="3" fillId="0" borderId="0" pivotButton="0" quotePrefix="0" xfId="1"/>
    <xf numFmtId="0" fontId="0" fillId="0" borderId="0" pivotButton="0" quotePrefix="0" xfId="0"/>
    <xf numFmtId="0" fontId="3" fillId="0" borderId="0" applyProtection="1" pivotButton="0" quotePrefix="0" xfId="1">
      <protection locked="0" hidden="0"/>
    </xf>
    <xf numFmtId="0" fontId="3" fillId="0" borderId="0" applyAlignment="1" pivotButton="0" quotePrefix="0" xfId="1">
      <alignment horizontal="left"/>
    </xf>
    <xf numFmtId="0" fontId="3" fillId="0" borderId="1" applyAlignment="1" applyProtection="1" pivotButton="0" quotePrefix="0" xfId="1">
      <alignment horizontal="center" vertical="center" wrapText="1"/>
      <protection locked="0" hidden="0"/>
    </xf>
    <xf numFmtId="0" fontId="3" fillId="0" borderId="7" applyAlignment="1" applyProtection="1" pivotButton="0" quotePrefix="0" xfId="1">
      <alignment horizontal="center" vertical="center" wrapText="1"/>
      <protection locked="0" hidden="0"/>
    </xf>
    <xf numFmtId="0" fontId="3" fillId="0" borderId="2" applyAlignment="1" applyProtection="1" pivotButton="0" quotePrefix="0" xfId="1">
      <alignment horizontal="center" vertical="center" wrapText="1"/>
      <protection locked="0" hidden="0"/>
    </xf>
    <xf numFmtId="0" fontId="3" fillId="0" borderId="8" applyAlignment="1" applyProtection="1" pivotButton="0" quotePrefix="0" xfId="1">
      <alignment horizontal="center" vertical="center" wrapText="1"/>
      <protection locked="0" hidden="0"/>
    </xf>
    <xf numFmtId="0" fontId="3" fillId="0" borderId="3" applyAlignment="1" applyProtection="1" pivotButton="0" quotePrefix="0" xfId="1">
      <alignment horizontal="center"/>
      <protection locked="0" hidden="0"/>
    </xf>
    <xf numFmtId="0" fontId="0" fillId="0" borderId="4" applyAlignment="1" pivotButton="0" quotePrefix="0" xfId="0">
      <alignment horizontal="center"/>
    </xf>
    <xf numFmtId="0" fontId="3" fillId="0" borderId="5" applyAlignment="1" applyProtection="1" pivotButton="0" quotePrefix="0" xfId="1">
      <alignment horizontal="center" vertical="center" wrapText="1"/>
      <protection locked="0" hidden="0"/>
    </xf>
    <xf numFmtId="0" fontId="0" fillId="0" borderId="11" applyAlignment="1" pivotButton="0" quotePrefix="0" xfId="0">
      <alignment horizontal="center" vertical="center" wrapText="1"/>
    </xf>
    <xf numFmtId="0" fontId="3" fillId="0" borderId="16" applyAlignment="1" applyProtection="1" pivotButton="0" quotePrefix="0" xfId="1">
      <alignment horizontal="center" vertical="center" wrapText="1"/>
      <protection locked="0" hidden="0"/>
    </xf>
    <xf numFmtId="0" fontId="3" fillId="0" borderId="19" applyAlignment="1" applyProtection="1" pivotButton="0" quotePrefix="0" xfId="1">
      <alignment horizontal="center" vertical="center"/>
      <protection locked="0" hidden="0"/>
    </xf>
    <xf numFmtId="0" fontId="3" fillId="0" borderId="6" applyAlignment="1" applyProtection="1" pivotButton="0" quotePrefix="0" xfId="1">
      <alignment horizontal="center" vertical="center"/>
      <protection locked="0" hidden="0"/>
    </xf>
    <xf numFmtId="166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26" applyAlignment="1" applyProtection="1" pivotButton="0" quotePrefix="0" xfId="1">
      <alignment horizont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4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166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topLeftCell="A16" workbookViewId="0">
      <selection activeCell="M28" sqref="M28"/>
    </sheetView>
  </sheetViews>
  <sheetFormatPr baseColWidth="10" defaultRowHeight="15"/>
  <cols>
    <col width="5.140625" customWidth="1" style="64" min="1" max="1"/>
    <col width="16.85546875" customWidth="1" style="64" min="3" max="3"/>
  </cols>
  <sheetData>
    <row r="1">
      <c r="A1" s="63" t="n"/>
      <c r="B1" s="63" t="inlineStr">
        <is>
          <t>ANEXO 1</t>
        </is>
      </c>
      <c r="C1" s="63" t="n"/>
      <c r="D1" s="62" t="n"/>
      <c r="E1" s="62" t="n"/>
      <c r="F1" s="62" t="n"/>
      <c r="G1" s="62" t="n"/>
      <c r="H1" s="62" t="n"/>
      <c r="I1" s="62" t="n"/>
      <c r="J1" s="63" t="n"/>
      <c r="K1" s="63" t="n"/>
      <c r="L1" s="63" t="n"/>
    </row>
    <row r="2">
      <c r="A2" s="63" t="n"/>
      <c r="B2" s="63" t="inlineStr">
        <is>
          <t>DIRECCIÓN DE OPERACIONES</t>
        </is>
      </c>
      <c r="C2" s="63" t="n"/>
      <c r="D2" s="62" t="n"/>
      <c r="E2" s="62" t="n"/>
      <c r="F2" s="62" t="n"/>
      <c r="G2" s="62" t="n"/>
      <c r="H2" s="62" t="n"/>
      <c r="I2" s="62" t="n"/>
      <c r="J2" s="63" t="n"/>
      <c r="K2" s="63" t="n"/>
      <c r="L2" s="63" t="n"/>
    </row>
    <row r="3">
      <c r="B3" s="63" t="inlineStr">
        <is>
          <t xml:space="preserve">MODELO 1: FICHA TÉCNICA DE ELABORACIÓN DE ALIMENTOS </t>
        </is>
      </c>
      <c r="D3" s="3" t="n"/>
      <c r="E3" s="3" t="n"/>
      <c r="F3" s="3" t="n"/>
      <c r="G3" s="3" t="n"/>
      <c r="H3" s="62" t="inlineStr">
        <is>
          <t>PESO POR PORCIÓN (5): 150 g</t>
        </is>
      </c>
      <c r="K3" s="4" t="n"/>
      <c r="L3" s="4" t="n"/>
    </row>
    <row r="4">
      <c r="B4" s="63" t="inlineStr">
        <is>
          <t>INSTALACIÓN (1):</t>
        </is>
      </c>
      <c r="H4" s="62" t="n"/>
      <c r="I4" s="62" t="n"/>
      <c r="J4" s="4" t="n"/>
      <c r="K4" s="4" t="n"/>
      <c r="L4" s="4" t="n"/>
    </row>
    <row r="5">
      <c r="B5" s="65" t="inlineStr">
        <is>
          <t>TIPO DE SERVICIO (2): A la Carta</t>
        </is>
      </c>
      <c r="C5" s="79" t="n"/>
      <c r="D5" s="79" t="n"/>
      <c r="E5" s="79" t="n"/>
      <c r="F5" s="13" t="n"/>
      <c r="G5" s="13" t="n"/>
      <c r="H5" s="43" t="inlineStr">
        <is>
          <t xml:space="preserve">FECHA DE CONFECCIÓN (6): </t>
        </is>
      </c>
      <c r="L5" s="6" t="n"/>
    </row>
    <row r="6">
      <c r="B6" s="7" t="inlineStr">
        <is>
          <t>qwert</t>
        </is>
      </c>
      <c r="C6" s="7" t="n"/>
      <c r="D6" s="52" t="n"/>
      <c r="E6" s="52" t="n"/>
      <c r="F6" s="52" t="n"/>
      <c r="G6" s="52" t="n"/>
      <c r="H6" s="3" t="n"/>
      <c r="I6" s="3" t="n"/>
      <c r="J6" s="66" t="n"/>
      <c r="L6" s="9" t="n"/>
    </row>
    <row r="7" ht="18.75" customHeight="1" s="64">
      <c r="B7" s="7" t="inlineStr">
        <is>
          <t>NUMERO DE PORCIONES (1):</t>
        </is>
      </c>
      <c r="C7" s="7" t="n"/>
      <c r="D7" s="52" t="n"/>
      <c r="E7" s="10" t="n">
        <v>1</v>
      </c>
      <c r="F7" s="52" t="n"/>
      <c r="G7" s="13" t="n"/>
      <c r="H7" s="13" t="n"/>
      <c r="I7" s="13" t="n"/>
      <c r="J7" s="9" t="n"/>
      <c r="K7" s="9" t="n"/>
      <c r="L7" s="9" t="n"/>
    </row>
    <row r="8" ht="15.75" customHeight="1" s="64" thickBot="1">
      <c r="C8" s="12" t="n"/>
      <c r="D8" s="13" t="n"/>
      <c r="E8" s="13" t="n"/>
      <c r="F8" s="13" t="n"/>
      <c r="G8" s="13" t="n"/>
      <c r="H8" s="13" t="n"/>
      <c r="I8" s="13" t="n"/>
      <c r="J8" s="9" t="n"/>
      <c r="K8" s="9" t="n"/>
      <c r="L8" s="9" t="n"/>
    </row>
    <row r="9" ht="15.75" customHeight="1" s="64" thickBot="1">
      <c r="B9" s="67" t="inlineStr">
        <is>
          <t>No(7)</t>
        </is>
      </c>
      <c r="C9" s="69" t="inlineStr">
        <is>
          <t>PRODUCTOS O INGREDIENTES (8)</t>
        </is>
      </c>
      <c r="D9" s="69" t="inlineStr">
        <is>
          <t>U/M (9)</t>
        </is>
      </c>
      <c r="E9" s="80" t="inlineStr">
        <is>
          <t>PRESENTACIÓN</t>
        </is>
      </c>
      <c r="F9" s="81" t="n"/>
      <c r="G9" s="73" t="inlineStr">
        <is>
          <t xml:space="preserve">PRECIO DE COSTO CUC (12) </t>
        </is>
      </c>
      <c r="H9" s="75" t="inlineStr">
        <is>
          <t xml:space="preserve">IMPORTE COSTO </t>
        </is>
      </c>
      <c r="I9" s="77" t="inlineStr">
        <is>
          <t>PROCEDIMIENTO</t>
        </is>
      </c>
      <c r="J9" s="82" t="n"/>
    </row>
    <row r="10" ht="15.75" customHeight="1" s="64" thickBot="1">
      <c r="B10" s="83" t="n"/>
      <c r="C10" s="84" t="n"/>
      <c r="D10" s="84" t="n"/>
      <c r="E10" s="14" t="inlineStr">
        <is>
          <t>Bruto (10)</t>
        </is>
      </c>
      <c r="F10" s="15" t="inlineStr">
        <is>
          <t>Neto (11)</t>
        </is>
      </c>
      <c r="G10" s="85" t="n"/>
      <c r="H10" s="86" t="n"/>
      <c r="I10" s="77" t="inlineStr">
        <is>
          <t>PREPARACIÓN (14)</t>
        </is>
      </c>
      <c r="J10" s="82" t="n"/>
    </row>
    <row r="11" ht="15.75" customHeight="1" s="64" thickBot="1">
      <c r="A11" s="16" t="n"/>
      <c r="B11" s="17" t="n">
        <v>1</v>
      </c>
      <c r="C11" s="35" t="inlineStr">
        <is>
          <t xml:space="preserve">ACEITE GIRASOL (BGR) 1L C/15U                                                                                                                                                   </t>
        </is>
      </c>
      <c r="D11" s="36" t="inlineStr">
        <is>
          <t>U</t>
        </is>
      </c>
      <c r="E11" s="38" t="n">
        <v>1</v>
      </c>
      <c r="F11" s="38" t="n">
        <v>0</v>
      </c>
      <c r="G11" s="41" t="n">
        <v>334.222</v>
      </c>
      <c r="H11" s="37" t="n">
        <v>334.22</v>
      </c>
      <c r="I11" s="87" t="inlineStr">
        <is>
          <t xml:space="preserve">Tener en dispuestos los ingredientes a utilizar así como los utensilios de trabajo. </t>
        </is>
      </c>
      <c r="J11" s="88" t="n"/>
    </row>
    <row r="12" ht="15.75" customHeight="1" s="64" thickBot="1">
      <c r="A12" s="16" t="n"/>
      <c r="B12" s="20" t="n">
        <v>2</v>
      </c>
      <c r="C12" s="35" t="inlineStr">
        <is>
          <t xml:space="preserve">AZUCAR SUPER REFINO DE CAÑA EN SACO                                                                                                                                             </t>
        </is>
      </c>
      <c r="D12" s="36" t="inlineStr">
        <is>
          <t>U</t>
        </is>
      </c>
      <c r="E12" s="37" t="n">
        <v>1</v>
      </c>
      <c r="F12" s="37" t="n">
        <v>0</v>
      </c>
      <c r="G12" s="41" t="n">
        <v>116.5205</v>
      </c>
      <c r="H12" s="37" t="n">
        <v>116.52</v>
      </c>
      <c r="J12" s="89" t="n"/>
    </row>
    <row r="13" ht="15.75" customHeight="1" s="64" thickBot="1">
      <c r="A13" s="16" t="n"/>
      <c r="B13" s="20" t="n">
        <v>3</v>
      </c>
      <c r="C13" s="39" t="inlineStr">
        <is>
          <t xml:space="preserve">BASES DE PIZZAS 170 G                                                                                                                                                           </t>
        </is>
      </c>
      <c r="D13" s="36" t="inlineStr">
        <is>
          <t>U</t>
        </is>
      </c>
      <c r="E13" s="37" t="n">
        <v>1</v>
      </c>
      <c r="F13" s="37" t="n">
        <v>0</v>
      </c>
      <c r="G13" s="41" t="n">
        <v>76.33</v>
      </c>
      <c r="H13" s="37" t="n">
        <v>76.33</v>
      </c>
      <c r="J13" s="89" t="n"/>
    </row>
    <row r="14" ht="15.75" customHeight="1" s="64" thickBot="1">
      <c r="A14" s="16" t="n"/>
      <c r="B14" s="20" t="n">
        <v>4</v>
      </c>
      <c r="C14" s="39" t="inlineStr">
        <is>
          <t xml:space="preserve">CALAMAR PUNTILLA  BOLSA 1 KG  C/10                                                                                                                                                </t>
        </is>
      </c>
      <c r="D14" s="36" t="inlineStr">
        <is>
          <t>U</t>
        </is>
      </c>
      <c r="E14" s="37" t="n">
        <v>1</v>
      </c>
      <c r="F14" s="37" t="n">
        <v>0</v>
      </c>
      <c r="G14" s="41" t="n">
        <v>977.5200000000001</v>
      </c>
      <c r="H14" s="37" t="n">
        <v>977.52</v>
      </c>
      <c r="I14" s="90" t="n"/>
      <c r="J14" s="91" t="n"/>
    </row>
    <row r="15" ht="15.75" customHeight="1" s="64" thickBot="1">
      <c r="A15" s="16" t="n"/>
      <c r="B15" s="20" t="inlineStr"/>
      <c r="C15" s="39" t="inlineStr"/>
      <c r="D15" s="36" t="inlineStr"/>
      <c r="E15" s="37" t="inlineStr"/>
      <c r="F15" s="37" t="inlineStr"/>
      <c r="G15" s="41" t="inlineStr"/>
      <c r="H15" s="37" t="inlineStr"/>
      <c r="I15" s="55" t="inlineStr">
        <is>
          <t>ELABORACIÓN (15)</t>
        </is>
      </c>
      <c r="J15" s="82" t="n"/>
    </row>
    <row r="16" ht="15.75" customHeight="1" s="64" thickBot="1">
      <c r="A16" s="16" t="n"/>
      <c r="B16" s="20" t="inlineStr"/>
      <c r="C16" s="39" t="inlineStr"/>
      <c r="D16" s="36" t="inlineStr"/>
      <c r="E16" s="37" t="inlineStr"/>
      <c r="F16" s="37" t="inlineStr"/>
      <c r="G16" s="41" t="inlineStr"/>
      <c r="H16" s="37" t="inlineStr"/>
      <c r="I16" s="87" t="inlineStr">
        <is>
          <t xml:space="preserve">Moler los diferentes géneros ,sofreir las especies , mezclar todo y conformar la hamburguesa. </t>
        </is>
      </c>
      <c r="J16" s="88" t="n"/>
    </row>
    <row r="17">
      <c r="A17" s="16" t="n"/>
      <c r="B17" s="17" t="inlineStr"/>
      <c r="C17" s="35" t="inlineStr"/>
      <c r="D17" s="36" t="inlineStr"/>
      <c r="E17" s="37" t="inlineStr"/>
      <c r="F17" s="38" t="inlineStr"/>
      <c r="G17" s="41" t="inlineStr"/>
      <c r="H17" s="37" t="inlineStr"/>
      <c r="J17" s="89" t="n"/>
    </row>
    <row r="18" ht="15.75" customHeight="1" s="64" thickBot="1">
      <c r="A18" s="16" t="n"/>
      <c r="B18" s="20" t="inlineStr"/>
      <c r="C18" s="39" t="inlineStr"/>
      <c r="D18" s="36" t="inlineStr"/>
      <c r="E18" s="37" t="inlineStr"/>
      <c r="F18" s="37" t="inlineStr"/>
      <c r="G18" s="40" t="inlineStr"/>
      <c r="H18" s="37" t="inlineStr"/>
      <c r="I18" s="90" t="n"/>
      <c r="J18" s="91" t="n"/>
    </row>
    <row r="19" ht="15.75" customHeight="1" s="64" thickBot="1">
      <c r="A19" s="16" t="n"/>
      <c r="B19" s="20" t="inlineStr"/>
      <c r="C19" s="39" t="inlineStr"/>
      <c r="D19" s="36" t="inlineStr"/>
      <c r="E19" s="37" t="inlineStr"/>
      <c r="F19" s="37" t="inlineStr"/>
      <c r="G19" s="40" t="inlineStr"/>
      <c r="H19" s="37" t="inlineStr"/>
      <c r="I19" s="55" t="inlineStr">
        <is>
          <t>DECORACIÓN (16)</t>
        </is>
      </c>
      <c r="J19" s="82" t="n"/>
    </row>
    <row r="20">
      <c r="B20" s="20" t="inlineStr"/>
      <c r="C20" s="39" t="inlineStr"/>
      <c r="D20" s="36" t="inlineStr"/>
      <c r="E20" s="37" t="inlineStr"/>
      <c r="F20" s="37" t="inlineStr"/>
      <c r="G20" s="40" t="inlineStr"/>
      <c r="H20" s="37" t="inlineStr"/>
      <c r="I20" s="87" t="inlineStr">
        <is>
          <t>Servir en plato para  ensalada y decorar.</t>
        </is>
      </c>
      <c r="J20" s="88" t="n"/>
    </row>
    <row r="21" ht="15.75" customHeight="1" s="64" thickBot="1">
      <c r="B21" s="20" t="inlineStr"/>
      <c r="C21" s="39" t="inlineStr"/>
      <c r="D21" s="36" t="inlineStr"/>
      <c r="E21" s="37" t="inlineStr"/>
      <c r="F21" s="37" t="inlineStr"/>
      <c r="G21" s="40" t="inlineStr"/>
      <c r="H21" t="inlineStr"/>
      <c r="I21" s="90" t="n"/>
      <c r="J21" s="91" t="n"/>
    </row>
    <row r="22" ht="15.75" customHeight="1" s="64" thickBot="1">
      <c r="B22" s="20" t="inlineStr"/>
      <c r="C22" s="39" t="inlineStr"/>
      <c r="D22" s="36" t="inlineStr"/>
      <c r="E22" s="37" t="inlineStr"/>
      <c r="F22" s="37" t="inlineStr"/>
      <c r="G22" s="40" t="inlineStr"/>
      <c r="H22" s="37" t="inlineStr"/>
      <c r="I22" s="55" t="inlineStr">
        <is>
          <t>PRESENTACIÓN (FOTO) (17)</t>
        </is>
      </c>
      <c r="J22" s="82" t="n"/>
    </row>
    <row r="23">
      <c r="B23" s="20" t="inlineStr"/>
      <c r="C23" s="39" t="inlineStr"/>
      <c r="D23" s="36" t="inlineStr"/>
      <c r="E23" s="37" t="inlineStr"/>
      <c r="F23" s="37" t="inlineStr"/>
      <c r="G23" s="40" t="inlineStr"/>
      <c r="H23" s="37" t="inlineStr"/>
      <c r="I23" s="56" t="n"/>
      <c r="J23" s="57" t="n"/>
    </row>
    <row r="24">
      <c r="B24" s="20" t="inlineStr"/>
      <c r="C24" s="21" t="inlineStr"/>
      <c r="D24" s="22" t="inlineStr"/>
      <c r="E24" s="23" t="inlineStr"/>
      <c r="F24" s="23" t="inlineStr"/>
      <c r="G24" s="42" t="inlineStr"/>
      <c r="H24" s="23" t="inlineStr"/>
      <c r="I24" s="58" t="n"/>
      <c r="J24" s="59" t="n"/>
    </row>
    <row r="25" ht="15.75" customHeight="1" s="64" thickBot="1">
      <c r="B25" s="92" t="inlineStr">
        <is>
          <t xml:space="preserve">                                                                                                                                                                                  subtotal</t>
        </is>
      </c>
      <c r="C25" s="93" t="n"/>
      <c r="D25" s="93" t="n"/>
      <c r="E25" s="93" t="n"/>
      <c r="F25" s="93" t="n"/>
      <c r="G25" s="93" t="n"/>
      <c r="H25" s="94" t="n"/>
      <c r="I25" s="37">
        <f>SUM(H11:H24)</f>
        <v/>
      </c>
      <c r="J25" s="23" t="n"/>
      <c r="K25" s="58" t="n"/>
      <c r="L25" s="58" t="n"/>
    </row>
    <row r="26" ht="15.75" customHeight="1" s="64" thickBot="1">
      <c r="H26" s="26" t="inlineStr">
        <is>
          <t>5% de condimentos</t>
        </is>
      </c>
      <c r="I26" s="27">
        <f>(5/100*I25)</f>
        <v/>
      </c>
      <c r="J26" s="27">
        <f>SUM(J12:J25)</f>
        <v/>
      </c>
    </row>
    <row r="27" ht="15.75" customHeight="1" s="64" thickBot="1">
      <c r="H27" s="28" t="inlineStr">
        <is>
          <t>TOTAL</t>
        </is>
      </c>
      <c r="I27" s="27">
        <f>SUM(I25,I26)</f>
        <v/>
      </c>
      <c r="J27" s="29">
        <f>J25+J26</f>
        <v/>
      </c>
    </row>
    <row r="29">
      <c r="B29" s="47" t="inlineStr">
        <is>
          <t>COSTO DE UNA PORCIÓN (18)</t>
        </is>
      </c>
      <c r="E29" s="27">
        <f>I27</f>
        <v/>
      </c>
      <c r="H29" s="30" t="inlineStr">
        <is>
          <t>PORCENTAJE DE UTILIDAD (20):</t>
        </is>
      </c>
      <c r="K29" s="30" t="n"/>
      <c r="L29" s="30" t="n"/>
    </row>
    <row r="30" ht="15" customHeight="1" s="64">
      <c r="B30" s="66" t="inlineStr">
        <is>
          <t>PRECIO DE VENTA (19):</t>
        </is>
      </c>
      <c r="E30" s="95">
        <f>ROUNDUP((E32+E31)/5,0)*5</f>
        <v/>
      </c>
      <c r="G30" s="51" t="inlineStr">
        <is>
          <t>ÍNDICE DE COSTO TOTAL (21):</t>
        </is>
      </c>
      <c r="J30" s="31">
        <f>I27/E30</f>
        <v/>
      </c>
      <c r="L30" s="53" t="n"/>
    </row>
    <row r="31" ht="15" customHeight="1" s="64">
      <c r="B31" s="66" t="inlineStr">
        <is>
          <t>IMPUESTO DEL 10%</t>
        </is>
      </c>
      <c r="E31" s="95">
        <f>(10/100*E32)</f>
        <v/>
      </c>
      <c r="G31" s="53" t="n"/>
      <c r="L31" s="53" t="n"/>
    </row>
    <row r="32">
      <c r="B32" s="66" t="inlineStr">
        <is>
          <t>PRECIO SIN IMPUESTO</t>
        </is>
      </c>
      <c r="E32" s="95" t="n">
        <v>3000</v>
      </c>
      <c r="L32" s="31" t="n"/>
    </row>
    <row r="33">
      <c r="B33" s="66" t="n"/>
      <c r="E33" s="3" t="n"/>
      <c r="F33" s="13" t="n"/>
      <c r="G33" s="33" t="n"/>
      <c r="H33" s="13" t="n"/>
      <c r="I33" s="9" t="n"/>
      <c r="J33" s="9" t="n"/>
      <c r="K33" s="9" t="n"/>
    </row>
    <row r="34">
      <c r="B34" s="34" t="n"/>
      <c r="C34" s="34" t="n"/>
      <c r="D34" s="34" t="n"/>
      <c r="E34" s="34" t="n"/>
      <c r="F34" s="34" t="n"/>
      <c r="G34" s="34" t="n"/>
      <c r="H34" s="34" t="n"/>
    </row>
    <row r="35">
      <c r="B35" s="66" t="inlineStr">
        <is>
          <t>Observaciones(22)</t>
        </is>
      </c>
    </row>
    <row r="36">
      <c r="F36" s="52" t="n"/>
    </row>
    <row r="37"/>
    <row r="38"/>
    <row r="39">
      <c r="B39" s="43" t="inlineStr">
        <is>
          <t>REALIZADO POR (23):</t>
        </is>
      </c>
      <c r="F39" s="43" t="inlineStr">
        <is>
          <t>REVISADO POR (24):</t>
        </is>
      </c>
      <c r="J39" s="43" t="inlineStr">
        <is>
          <t>APROBADO POR (25):</t>
        </is>
      </c>
    </row>
    <row r="40">
      <c r="D40" s="52" t="n"/>
      <c r="E40" s="52" t="n"/>
      <c r="F40" s="52" t="n"/>
      <c r="G40" s="52" t="n"/>
      <c r="H40" s="52" t="n"/>
    </row>
  </sheetData>
  <mergeCells count="32">
    <mergeCell ref="J39:K39"/>
    <mergeCell ref="H9:H10"/>
    <mergeCell ref="I15:J15"/>
    <mergeCell ref="F39:I39"/>
    <mergeCell ref="B5:E5"/>
    <mergeCell ref="B29:D29"/>
    <mergeCell ref="G30:I30"/>
    <mergeCell ref="H5:K5"/>
    <mergeCell ref="C9:C10"/>
    <mergeCell ref="J6:K6"/>
    <mergeCell ref="I20:J21"/>
    <mergeCell ref="B30:D30"/>
    <mergeCell ref="I22:J22"/>
    <mergeCell ref="B25:H25"/>
    <mergeCell ref="H3:J3"/>
    <mergeCell ref="F36:G38"/>
    <mergeCell ref="E9:F9"/>
    <mergeCell ref="I16:J18"/>
    <mergeCell ref="B33:D33"/>
    <mergeCell ref="B9:B10"/>
    <mergeCell ref="D9:D10"/>
    <mergeCell ref="G31:I31"/>
    <mergeCell ref="B32:D32"/>
    <mergeCell ref="B35:D35"/>
    <mergeCell ref="B4:G4"/>
    <mergeCell ref="B39:E39"/>
    <mergeCell ref="G9:G10"/>
    <mergeCell ref="B31:D31"/>
    <mergeCell ref="I11:J14"/>
    <mergeCell ref="I10:J10"/>
    <mergeCell ref="I19:J19"/>
    <mergeCell ref="I9:J9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Yunior Rodriguez Alonso</dc:creator>
  <dcterms:created xsi:type="dcterms:W3CDTF">2019-02-06T22:02:02Z</dcterms:created>
  <dcterms:modified xsi:type="dcterms:W3CDTF">2026-04-26T01:35:42Z</dcterms:modified>
  <cp:lastModifiedBy>Yunior</cp:lastModifiedBy>
  <cp:lastPrinted>2022-11-29T18:32:25Z</cp:lastPrinted>
</cp:coreProperties>
</file>